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hidePivotFieldList="1"/>
  <xr:revisionPtr revIDLastSave="0" documentId="8_{49234A6C-1AC9-41DC-8FA6-B944A5E901A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etalhes1" sheetId="3" state="hidden" r:id="rId1"/>
    <sheet name="Dashboard" sheetId="2" r:id="rId2"/>
    <sheet name="Planilha1" sheetId="1" state="hidden" r:id="rId3"/>
  </sheets>
  <definedNames>
    <definedName name="SegmentaçãodeDados_Tipo_de_Assinatura">#N/A</definedName>
  </definedNames>
  <calcPr calcId="191028"/>
  <pivotCaches>
    <pivotCache cacheId="216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G9" i="2"/>
</calcChain>
</file>

<file path=xl/sharedStrings.xml><?xml version="1.0" encoding="utf-8"?>
<sst xmlns="http://schemas.openxmlformats.org/spreadsheetml/2006/main" count="66" uniqueCount="14">
  <si>
    <t>Detalhes do Soma de Valor Venda</t>
  </si>
  <si>
    <t>Data</t>
  </si>
  <si>
    <t>Produto</t>
  </si>
  <si>
    <t>Tipo de Assinatura</t>
  </si>
  <si>
    <t>Valor Venda</t>
  </si>
  <si>
    <t>EA Play</t>
  </si>
  <si>
    <t>Quarterly</t>
  </si>
  <si>
    <t>Monthly</t>
  </si>
  <si>
    <t>Minecraft</t>
  </si>
  <si>
    <t>Xbox Game Pass</t>
  </si>
  <si>
    <t>Bem vinda, Bruna</t>
  </si>
  <si>
    <t>Soma de Valor Venda</t>
  </si>
  <si>
    <t>Total Geral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</si>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</sst>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6" formatCode="[$R$-416]\ #,##0.00"/>
  </numFmts>
  <fonts count="9">
    <font>
      <sz val="11"/>
      <color theme="1"/>
      <name val="Aptos Narrow"/>
      <family val="2"/>
      <scheme val="minor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  <font>
      <b/>
      <sz val="18"/>
      <color theme="6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20"/>
      <color rgb="FFFFFFFF"/>
      <name val="Aptos Narrow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6" fillId="5" borderId="0" xfId="0" applyFont="1" applyFill="1"/>
    <xf numFmtId="0" fontId="5" fillId="3" borderId="0" xfId="0" applyFont="1" applyFill="1" applyBorder="1" applyAlignment="1"/>
    <xf numFmtId="0" fontId="0" fillId="3" borderId="0" xfId="0" applyFill="1" applyBorder="1" applyAlignment="1"/>
    <xf numFmtId="0" fontId="0" fillId="4" borderId="0" xfId="0" applyFill="1" applyBorder="1" applyAlignment="1"/>
    <xf numFmtId="14" fontId="0" fillId="0" borderId="0" xfId="0" applyNumberFormat="1"/>
    <xf numFmtId="0" fontId="6" fillId="0" borderId="0" xfId="0" applyFont="1"/>
    <xf numFmtId="166" fontId="0" fillId="4" borderId="0" xfId="0" applyNumberFormat="1" applyFill="1" applyBorder="1" applyAlignment="1"/>
    <xf numFmtId="0" fontId="7" fillId="4" borderId="0" xfId="0" applyFont="1" applyFill="1"/>
    <xf numFmtId="166" fontId="8" fillId="4" borderId="0" xfId="0" applyNumberFormat="1" applyFont="1" applyFill="1"/>
    <xf numFmtId="166" fontId="7" fillId="4" borderId="0" xfId="0" applyNumberFormat="1" applyFont="1" applyFill="1" applyBorder="1" applyAlignment="1"/>
    <xf numFmtId="0" fontId="0" fillId="6" borderId="0" xfId="0" applyFill="1"/>
    <xf numFmtId="166" fontId="0" fillId="6" borderId="0" xfId="0" applyNumberFormat="1" applyFill="1"/>
    <xf numFmtId="7" fontId="0" fillId="6" borderId="0" xfId="0" applyNumberFormat="1" applyFont="1" applyFill="1"/>
    <xf numFmtId="0" fontId="0" fillId="6" borderId="0" xfId="0" applyFont="1" applyFill="1"/>
  </cellXfs>
  <cellStyles count="1">
    <cellStyle name="Normal" xfId="0" builtinId="0"/>
  </cellStyles>
  <dxfs count="16">
    <dxf>
      <numFmt numFmtId="19" formatCode="m/d/yyyy"/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1" formatCode="&quot;$&quot;#,##0.00_);\(&quot;$&quot;#,##0.00\)"/>
    </dxf>
    <dxf>
      <numFmt numFmtId="166" formatCode="[$R$-416]\ #,##0.00"/>
    </dxf>
    <dxf>
      <numFmt numFmtId="166" formatCode="[$R$-416]\ #,##0.00"/>
    </dxf>
    <dxf>
      <numFmt numFmtId="166" formatCode="[$R$-416]\ #,##0.00"/>
    </dxf>
    <dxf>
      <numFmt numFmtId="166" formatCode="[$R$-416]\ #,##0.0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color theme="1"/>
      </font>
    </dxf>
    <dxf>
      <font>
        <color theme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[Dashboard.xlsx]Dashboard!Tabela dinâmica1</c:name>
    <c:fmtId val="0"/>
  </c:pivotSource>
  <c:chart>
    <c:autoTitleDeleted val="1"/>
    <c:pivotFmts>
      <c:pivotFmt>
        <c:idx val="0"/>
        <c:spPr>
          <a:solidFill>
            <a:srgbClr val="3C7D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strRef>
              <c:f>Dashboard!$Q$4:$Q$7</c:f>
              <c:strCache>
                <c:ptCount val="3"/>
                <c:pt idx="0">
                  <c:v>EA Play</c:v>
                </c:pt>
                <c:pt idx="1">
                  <c:v>Minecraft</c:v>
                </c:pt>
                <c:pt idx="2">
                  <c:v>Xbox Game Pass</c:v>
                </c:pt>
              </c:strCache>
            </c:strRef>
          </c:cat>
          <c:val>
            <c:numRef>
              <c:f>Dashboard!$R$4:$R$7</c:f>
              <c:numCache>
                <c:formatCode>[$R$-416]\ #,##0.00</c:formatCode>
                <c:ptCount val="3"/>
                <c:pt idx="0">
                  <c:v>200</c:v>
                </c:pt>
                <c:pt idx="1">
                  <c:v>240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1-4326-99C6-2E66BA85F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5572872"/>
        <c:axId val="25574920"/>
      </c:barChart>
      <c:valAx>
        <c:axId val="25574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2872"/>
        <c:crosses val="autoZero"/>
        <c:crossBetween val="between"/>
      </c:valAx>
      <c:catAx>
        <c:axId val="25572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4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5E6A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7</xdr:row>
      <xdr:rowOff>123825</xdr:rowOff>
    </xdr:from>
    <xdr:to>
      <xdr:col>22</xdr:col>
      <xdr:colOff>228600</xdr:colOff>
      <xdr:row>16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8D76F3-5492-C556-A1DF-FDC40D846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47625</xdr:rowOff>
    </xdr:from>
    <xdr:to>
      <xdr:col>2</xdr:col>
      <xdr:colOff>0</xdr:colOff>
      <xdr:row>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ipo de Assinatura">
              <a:extLst>
                <a:ext uri="{FF2B5EF4-FFF2-40B4-BE49-F238E27FC236}">
                  <a16:creationId xmlns:a16="http://schemas.microsoft.com/office/drawing/2014/main" id="{F2A8601B-EB23-7155-CD00-617D81DCC282}"/>
                </a:ext>
                <a:ext uri="{147F2762-F138-4A5C-976F-8EAC2B608ADB}">
                  <a16:predDERef xmlns:a16="http://schemas.microsoft.com/office/drawing/2014/main" pred="{968D76F3-5492-C556-A1DF-FDC40D846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04925"/>
              <a:ext cx="169545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38100</xdr:colOff>
      <xdr:row>7</xdr:row>
      <xdr:rowOff>95250</xdr:rowOff>
    </xdr:from>
    <xdr:to>
      <xdr:col>4</xdr:col>
      <xdr:colOff>476250</xdr:colOff>
      <xdr:row>9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F011AD-135D-3F7D-F48E-6A6615A48B1C}"/>
            </a:ext>
            <a:ext uri="{147F2762-F138-4A5C-976F-8EAC2B608ADB}">
              <a16:predDERef xmlns:a16="http://schemas.microsoft.com/office/drawing/2014/main" pred="{F2A8601B-EB23-7155-CD00-617D81DC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0470" t="36370" r="38790" b="51448"/>
        <a:stretch>
          <a:fillRect/>
        </a:stretch>
      </xdr:blipFill>
      <xdr:spPr>
        <a:xfrm>
          <a:off x="2343150" y="1685925"/>
          <a:ext cx="1047750" cy="59055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0</xdr:row>
      <xdr:rowOff>-9525</xdr:rowOff>
    </xdr:from>
    <xdr:to>
      <xdr:col>13</xdr:col>
      <xdr:colOff>885825</xdr:colOff>
      <xdr:row>2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C3A7203-E1C7-ECF4-717A-5F89CEC31A86}"/>
            </a:ext>
            <a:ext uri="{147F2762-F138-4A5C-976F-8EAC2B608ADB}">
              <a16:predDERef xmlns:a16="http://schemas.microsoft.com/office/drawing/2014/main" pred="{4FF011AD-135D-3F7D-F48E-6A6615A48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34478" t="3485" r="51448" b="1970"/>
        <a:stretch>
          <a:fillRect/>
        </a:stretch>
      </xdr:blipFill>
      <xdr:spPr>
        <a:xfrm rot="5400000">
          <a:off x="5934075" y="-3657600"/>
          <a:ext cx="666750" cy="796290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15</xdr:row>
      <xdr:rowOff>161925</xdr:rowOff>
    </xdr:from>
    <xdr:to>
      <xdr:col>5</xdr:col>
      <xdr:colOff>276225</xdr:colOff>
      <xdr:row>18</xdr:row>
      <xdr:rowOff>47625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8172789-66FE-3A70-DA18-982F307DB939}"/>
            </a:ext>
            <a:ext uri="{147F2762-F138-4A5C-976F-8EAC2B608ADB}">
              <a16:predDERef xmlns:a16="http://schemas.microsoft.com/office/drawing/2014/main" pred="{5C3A7203-E1C7-ECF4-717A-5F89CEC3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24512" t="43750" r="25859" b="42589"/>
        <a:stretch>
          <a:fillRect/>
        </a:stretch>
      </xdr:blipFill>
      <xdr:spPr>
        <a:xfrm>
          <a:off x="2524125" y="3609975"/>
          <a:ext cx="1276350" cy="666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1.657980439813" createdVersion="8" refreshedVersion="8" minRefreshableVersion="3" recordCount="16" xr:uid="{86209584-1470-422F-A833-9C379B2311E0}">
  <cacheSource type="worksheet">
    <worksheetSource ref="A1:D17" sheet="Planilha1"/>
  </cacheSource>
  <cacheFields count="4">
    <cacheField name="Data" numFmtId="14">
      <sharedItems containsSemiMixedTypes="0" containsNonDate="0" containsDate="1" containsString="0" minDate="2024-01-01T00:00:00" maxDate="2024-12-21T00:00:00"/>
    </cacheField>
    <cacheField name="Produto" numFmtId="0">
      <sharedItems count="3">
        <s v="Xbox Game Pass"/>
        <s v="Minecraft"/>
        <s v="EA Play"/>
      </sharedItems>
    </cacheField>
    <cacheField name="Tipo de Assinatura" numFmtId="0">
      <sharedItems count="3">
        <s v="Annual"/>
        <s v="Monthly"/>
        <s v="Quarterly"/>
      </sharedItems>
    </cacheField>
    <cacheField name="Valor Venda" numFmtId="0">
      <sharedItems containsSemiMixedTypes="0" containsString="0" containsNumber="1" containsInteger="1" minValue="20" maxValue="150"/>
    </cacheField>
  </cacheFields>
  <extLst>
    <ext xmlns:x14="http://schemas.microsoft.com/office/spreadsheetml/2009/9/main" uri="{725AE2AE-9491-48be-B2B4-4EB974FC3084}">
      <x14:pivotCacheDefinition pivotCacheId="16962245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4-01-01T00:00:00"/>
    <x v="0"/>
    <x v="0"/>
    <n v="150"/>
  </r>
  <r>
    <d v="2024-01-15T00:00:00"/>
    <x v="0"/>
    <x v="1"/>
    <n v="45"/>
  </r>
  <r>
    <d v="2024-02-02T00:00:00"/>
    <x v="1"/>
    <x v="0"/>
    <n v="120"/>
  </r>
  <r>
    <d v="2024-02-10T00:00:00"/>
    <x v="2"/>
    <x v="0"/>
    <n v="100"/>
  </r>
  <r>
    <d v="2024-03-05T00:00:00"/>
    <x v="0"/>
    <x v="2"/>
    <n v="100"/>
  </r>
  <r>
    <d v="2024-03-12T00:00:00"/>
    <x v="1"/>
    <x v="1"/>
    <n v="30"/>
  </r>
  <r>
    <d v="2024-04-20T00:00:00"/>
    <x v="2"/>
    <x v="1"/>
    <n v="20"/>
  </r>
  <r>
    <d v="2024-05-05T00:00:00"/>
    <x v="0"/>
    <x v="0"/>
    <n v="150"/>
  </r>
  <r>
    <d v="2024-06-15T00:00:00"/>
    <x v="0"/>
    <x v="1"/>
    <n v="45"/>
  </r>
  <r>
    <d v="2024-07-20T00:00:00"/>
    <x v="1"/>
    <x v="2"/>
    <n v="80"/>
  </r>
  <r>
    <d v="2024-08-10T00:00:00"/>
    <x v="2"/>
    <x v="2"/>
    <n v="60"/>
  </r>
  <r>
    <d v="2024-09-01T00:00:00"/>
    <x v="0"/>
    <x v="0"/>
    <n v="150"/>
  </r>
  <r>
    <d v="2024-09-15T00:00:00"/>
    <x v="1"/>
    <x v="0"/>
    <n v="120"/>
  </r>
  <r>
    <d v="2024-10-10T00:00:00"/>
    <x v="2"/>
    <x v="0"/>
    <n v="100"/>
  </r>
  <r>
    <d v="2024-11-05T00:00:00"/>
    <x v="0"/>
    <x v="1"/>
    <n v="45"/>
  </r>
  <r>
    <d v="2024-12-20T00:00:00"/>
    <x v="1"/>
    <x v="1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313C0-9FC0-4D0A-A5FC-A83008C88774}" name="Tabela dinâmica1" cacheId="21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Q3:R7" firstHeaderRow="1" firstDataRow="1" firstDataCol="1"/>
  <pivotFields count="4">
    <pivotField compact="0" numFmtId="14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4">
        <item x="0"/>
        <item h="1" x="1"/>
        <item h="1" x="2"/>
        <item t="default"/>
      </items>
    </pivotField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Venda" fld="3" baseField="0" baseItem="0"/>
  </dataFields>
  <formats count="15">
    <format dxfId="1">
      <pivotArea type="all" dataOnly="0" outline="0" fieldPosition="0"/>
    </format>
    <format dxfId="2">
      <pivotArea dataOnly="0" labelOnly="1" outline="0" axis="axisValues" fieldPosition="0"/>
    </format>
    <format dxfId="3">
      <pivotArea dataOnly="0" labelOnly="1" outline="0" axis="axisValues" fieldPosition="0"/>
    </format>
    <format dxfId="4">
      <pivotArea outline="0" fieldPosition="0">
        <references count="1">
          <reference field="1" count="1" selected="0">
            <x v="2"/>
          </reference>
        </references>
      </pivotArea>
    </format>
    <format dxfId="5">
      <pivotArea outline="0" fieldPosition="0">
        <references count="1">
          <reference field="1" count="1" selected="0">
            <x v="1"/>
          </reference>
        </references>
      </pivotArea>
    </format>
    <format dxfId="6">
      <pivotArea outline="0" fieldPosition="0">
        <references count="1">
          <reference field="1" count="1" selected="0">
            <x v="0"/>
          </reference>
        </references>
      </pivotArea>
    </format>
    <format dxfId="7">
      <pivotArea grandRow="1" outline="0" collapsedLevelsAreSubtotals="1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dataOnly="0" labelOnly="1" outline="0" axis="axisValues" fieldPosition="0"/>
    </format>
    <format dxfId="15">
      <pivotArea field="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Assinatura" xr10:uid="{74C1B6F5-EA12-40A2-BA9A-A5E7C25D7B5F}" sourceName="Tipo de Assinatura">
  <pivotTables>
    <pivotTable tabId="2" name="Tabela dinâmica1"/>
  </pivotTables>
  <data>
    <tabular pivotCacheId="1696224521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E6017C64-ED91-4FA3-80F7-B77C8D0E08F2}" cache="SegmentaçãodeDados_Tipo_de_Assinatura" caption="Tipo de Assinatura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F673D-E2C8-4CC8-A89D-318D5D38CAB2}" name="Tabela1" displayName="Tabela1" ref="A3:D12" totalsRowShown="0">
  <autoFilter ref="A3:D12" xr:uid="{F97F673D-E2C8-4CC8-A89D-318D5D38CAB2}"/>
  <tableColumns count="4">
    <tableColumn id="1" xr3:uid="{62D2E64B-B7A1-4CFD-BB7B-64A42BEE11EB}" name="Data" dataDxfId="0"/>
    <tableColumn id="2" xr3:uid="{6782B891-AD15-42CD-AF37-E82D2E387AC6}" name="Produto"/>
    <tableColumn id="3" xr3:uid="{D635AD45-7F67-4CC1-98E5-1E4780DBB31B}" name="Tipo de Assinatura"/>
    <tableColumn id="4" xr3:uid="{6264CA94-082F-4A91-9A2A-7B405D0AF503}" name="Valor V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8D07-AE1E-4879-B7D5-9A86C3C8E5F4}">
  <dimension ref="A1:D12"/>
  <sheetViews>
    <sheetView workbookViewId="0">
      <selection activeCell="I5" sqref="I5"/>
    </sheetView>
  </sheetViews>
  <sheetFormatPr defaultRowHeight="15"/>
  <cols>
    <col min="1" max="1" width="11.140625" bestFit="1" customWidth="1"/>
    <col min="2" max="2" width="15.42578125" bestFit="1" customWidth="1"/>
    <col min="3" max="3" width="20" bestFit="1" customWidth="1"/>
    <col min="4" max="4" width="14" bestFit="1" customWidth="1"/>
  </cols>
  <sheetData>
    <row r="1" spans="1:4">
      <c r="A1" s="15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s="14">
        <v>45514</v>
      </c>
      <c r="B4" t="s">
        <v>5</v>
      </c>
      <c r="C4" t="s">
        <v>6</v>
      </c>
      <c r="D4">
        <v>60</v>
      </c>
    </row>
    <row r="5" spans="1:4">
      <c r="A5" s="14">
        <v>45402</v>
      </c>
      <c r="B5" t="s">
        <v>5</v>
      </c>
      <c r="C5" t="s">
        <v>7</v>
      </c>
      <c r="D5">
        <v>20</v>
      </c>
    </row>
    <row r="6" spans="1:4">
      <c r="A6" s="14">
        <v>45646</v>
      </c>
      <c r="B6" t="s">
        <v>8</v>
      </c>
      <c r="C6" t="s">
        <v>7</v>
      </c>
      <c r="D6">
        <v>30</v>
      </c>
    </row>
    <row r="7" spans="1:4">
      <c r="A7" s="14">
        <v>45363</v>
      </c>
      <c r="B7" t="s">
        <v>8</v>
      </c>
      <c r="C7" t="s">
        <v>7</v>
      </c>
      <c r="D7">
        <v>30</v>
      </c>
    </row>
    <row r="8" spans="1:4">
      <c r="A8" s="14">
        <v>45493</v>
      </c>
      <c r="B8" t="s">
        <v>8</v>
      </c>
      <c r="C8" t="s">
        <v>6</v>
      </c>
      <c r="D8">
        <v>80</v>
      </c>
    </row>
    <row r="9" spans="1:4">
      <c r="A9" s="14">
        <v>45306</v>
      </c>
      <c r="B9" t="s">
        <v>9</v>
      </c>
      <c r="C9" t="s">
        <v>7</v>
      </c>
      <c r="D9">
        <v>45</v>
      </c>
    </row>
    <row r="10" spans="1:4">
      <c r="A10" s="14">
        <v>45601</v>
      </c>
      <c r="B10" t="s">
        <v>9</v>
      </c>
      <c r="C10" t="s">
        <v>7</v>
      </c>
      <c r="D10">
        <v>45</v>
      </c>
    </row>
    <row r="11" spans="1:4">
      <c r="A11" s="14">
        <v>45356</v>
      </c>
      <c r="B11" t="s">
        <v>9</v>
      </c>
      <c r="C11" t="s">
        <v>6</v>
      </c>
      <c r="D11">
        <v>100</v>
      </c>
    </row>
    <row r="12" spans="1:4">
      <c r="A12" s="14">
        <v>45458</v>
      </c>
      <c r="B12" t="s">
        <v>9</v>
      </c>
      <c r="C12" t="s">
        <v>7</v>
      </c>
      <c r="D12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A206-AC3D-46CE-9947-0022738CFEC3}">
  <dimension ref="A1:AK100"/>
  <sheetViews>
    <sheetView showGridLines="0" tabSelected="1" workbookViewId="0">
      <selection activeCell="U7" sqref="U7"/>
    </sheetView>
  </sheetViews>
  <sheetFormatPr defaultRowHeight="15"/>
  <cols>
    <col min="1" max="2" width="12.7109375" style="4" customWidth="1"/>
    <col min="7" max="7" width="23.5703125" customWidth="1"/>
    <col min="14" max="15" width="13.5703125" customWidth="1"/>
    <col min="16" max="16" width="2.42578125" customWidth="1"/>
    <col min="17" max="17" width="15.42578125" hidden="1" customWidth="1"/>
    <col min="18" max="18" width="20.140625" hidden="1" customWidth="1"/>
    <col min="24" max="35" width="0" hidden="1" customWidth="1"/>
  </cols>
  <sheetData>
    <row r="1" spans="1:37" ht="19.5" customHeight="1">
      <c r="A1" s="5" t="s">
        <v>10</v>
      </c>
      <c r="C1" s="8"/>
      <c r="D1" s="7"/>
      <c r="E1" s="17"/>
      <c r="F1" s="7"/>
      <c r="G1" s="7"/>
      <c r="H1" s="7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C2" s="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9"/>
      <c r="Q3" s="23" t="s">
        <v>2</v>
      </c>
      <c r="R3" s="22" t="s">
        <v>11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20" t="s">
        <v>5</v>
      </c>
      <c r="R4" s="21">
        <v>200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20" t="s">
        <v>8</v>
      </c>
      <c r="R5" s="21">
        <v>240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20" t="s">
        <v>9</v>
      </c>
      <c r="R6" s="21">
        <v>450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26.25">
      <c r="C7" s="9"/>
      <c r="D7" s="11"/>
      <c r="E7" s="12"/>
      <c r="F7" s="12"/>
      <c r="G7" s="12"/>
      <c r="H7" s="12"/>
      <c r="I7" s="12"/>
      <c r="J7" s="9"/>
      <c r="K7" s="9"/>
      <c r="L7" s="9"/>
      <c r="M7" s="9"/>
      <c r="N7" s="9"/>
      <c r="O7" s="9"/>
      <c r="P7" s="9"/>
      <c r="Q7" s="20" t="s">
        <v>12</v>
      </c>
      <c r="R7" s="21">
        <v>890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>
      <c r="C8" s="9"/>
      <c r="D8" s="13"/>
      <c r="E8" s="13"/>
      <c r="F8" s="13"/>
      <c r="G8" s="13"/>
      <c r="H8" s="13"/>
      <c r="I8" s="13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26.25">
      <c r="C9" s="9"/>
      <c r="D9" s="13"/>
      <c r="E9" s="13"/>
      <c r="F9" s="16"/>
      <c r="G9" s="19">
        <f>R4</f>
        <v>200</v>
      </c>
      <c r="H9" s="13"/>
      <c r="I9" s="13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>
      <c r="C10" s="9"/>
      <c r="D10" s="13"/>
      <c r="E10" s="13"/>
      <c r="F10" s="13"/>
      <c r="G10" s="13"/>
      <c r="H10" s="13"/>
      <c r="I10" s="13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>
      <c r="C11" s="9"/>
      <c r="D11" s="13"/>
      <c r="E11" s="13"/>
      <c r="F11" s="13"/>
      <c r="G11" s="13"/>
      <c r="H11" s="13"/>
      <c r="I11" s="13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ht="30" customHeight="1">
      <c r="C15" s="9"/>
      <c r="D15" s="6"/>
      <c r="E15" s="6"/>
      <c r="F15" s="6"/>
      <c r="G15" s="6"/>
      <c r="H15" s="6"/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>
      <c r="C16" s="9"/>
      <c r="D16" s="7"/>
      <c r="E16" s="7"/>
      <c r="F16" s="7"/>
      <c r="G16" s="7"/>
      <c r="H16" s="7"/>
      <c r="I16" s="7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3:37">
      <c r="C17" s="9"/>
      <c r="D17" s="7"/>
      <c r="E17" s="7"/>
      <c r="F17" s="7"/>
      <c r="G17" s="7"/>
      <c r="H17" s="7"/>
      <c r="I17" s="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3:37" ht="31.5">
      <c r="C18" s="9"/>
      <c r="D18" s="7"/>
      <c r="E18" s="7"/>
      <c r="F18" s="7"/>
      <c r="G18" s="18">
        <f>R5</f>
        <v>240</v>
      </c>
      <c r="H18" s="7"/>
      <c r="I18" s="7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3:37">
      <c r="C19" s="9"/>
      <c r="D19" s="7"/>
      <c r="E19" s="7"/>
      <c r="F19" s="7"/>
      <c r="G19" s="7"/>
      <c r="H19" s="7"/>
      <c r="I19" s="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3:37">
      <c r="C20" s="9"/>
      <c r="D20" s="7"/>
      <c r="E20" s="7"/>
      <c r="F20" s="7"/>
      <c r="G20" s="7"/>
      <c r="H20" s="7"/>
      <c r="I20" s="7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3:37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3:37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3:37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3:37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3:37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3:37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3:37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3:37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3:37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3:37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3:37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3:37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3:37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3:37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3:37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3:37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3:37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3:37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3:37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3:37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3:37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3:37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3:37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3:37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3:37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3:37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3:37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3:37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3:37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3:37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3:37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3:37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3:37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3:37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3:37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3:37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3:37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3:37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3:37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3:37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3:37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3:37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3:37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3:37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3:37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3:37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3:37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3:37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3:37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3:37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3:37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3:37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3:37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3:37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3:37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3:37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3:37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3:37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3:37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3:37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3:37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3:37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3:37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3:37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3:37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3:37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3:37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3:37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3:37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3:37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3:37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3:37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3:37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3:37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3:37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3:37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3:37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3:37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3:37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3:37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D17" sqref="D17"/>
    </sheetView>
  </sheetViews>
  <sheetFormatPr defaultRowHeight="15"/>
  <cols>
    <col min="1" max="1" width="13.5703125" customWidth="1"/>
    <col min="2" max="2" width="17.42578125" customWidth="1"/>
    <col min="3" max="3" width="16.140625" customWidth="1"/>
    <col min="4" max="4" width="12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2">
        <v>45292</v>
      </c>
      <c r="B2" s="3" t="s">
        <v>9</v>
      </c>
      <c r="C2" s="3" t="s">
        <v>13</v>
      </c>
      <c r="D2" s="3">
        <v>150</v>
      </c>
    </row>
    <row r="3" spans="1:4">
      <c r="A3" s="2">
        <v>45306</v>
      </c>
      <c r="B3" s="3" t="s">
        <v>9</v>
      </c>
      <c r="C3" s="3" t="s">
        <v>7</v>
      </c>
      <c r="D3" s="3">
        <v>45</v>
      </c>
    </row>
    <row r="4" spans="1:4">
      <c r="A4" s="2">
        <v>45324</v>
      </c>
      <c r="B4" s="3" t="s">
        <v>8</v>
      </c>
      <c r="C4" s="3" t="s">
        <v>13</v>
      </c>
      <c r="D4" s="3">
        <v>120</v>
      </c>
    </row>
    <row r="5" spans="1:4">
      <c r="A5" s="2">
        <v>45332</v>
      </c>
      <c r="B5" s="3" t="s">
        <v>5</v>
      </c>
      <c r="C5" s="3" t="s">
        <v>13</v>
      </c>
      <c r="D5" s="3">
        <v>100</v>
      </c>
    </row>
    <row r="6" spans="1:4">
      <c r="A6" s="2">
        <v>45356</v>
      </c>
      <c r="B6" s="3" t="s">
        <v>9</v>
      </c>
      <c r="C6" s="3" t="s">
        <v>6</v>
      </c>
      <c r="D6" s="3">
        <v>100</v>
      </c>
    </row>
    <row r="7" spans="1:4">
      <c r="A7" s="2">
        <v>45363</v>
      </c>
      <c r="B7" s="3" t="s">
        <v>8</v>
      </c>
      <c r="C7" s="3" t="s">
        <v>7</v>
      </c>
      <c r="D7" s="3">
        <v>30</v>
      </c>
    </row>
    <row r="8" spans="1:4">
      <c r="A8" s="2">
        <v>45402</v>
      </c>
      <c r="B8" s="3" t="s">
        <v>5</v>
      </c>
      <c r="C8" s="3" t="s">
        <v>7</v>
      </c>
      <c r="D8" s="3">
        <v>20</v>
      </c>
    </row>
    <row r="9" spans="1:4">
      <c r="A9" s="2">
        <v>45417</v>
      </c>
      <c r="B9" s="3" t="s">
        <v>9</v>
      </c>
      <c r="C9" s="3" t="s">
        <v>13</v>
      </c>
      <c r="D9" s="3">
        <v>150</v>
      </c>
    </row>
    <row r="10" spans="1:4">
      <c r="A10" s="2">
        <v>45458</v>
      </c>
      <c r="B10" s="3" t="s">
        <v>9</v>
      </c>
      <c r="C10" s="3" t="s">
        <v>7</v>
      </c>
      <c r="D10" s="3">
        <v>45</v>
      </c>
    </row>
    <row r="11" spans="1:4">
      <c r="A11" s="2">
        <v>45493</v>
      </c>
      <c r="B11" s="3" t="s">
        <v>8</v>
      </c>
      <c r="C11" s="3" t="s">
        <v>6</v>
      </c>
      <c r="D11" s="3">
        <v>80</v>
      </c>
    </row>
    <row r="12" spans="1:4">
      <c r="A12" s="2">
        <v>45514</v>
      </c>
      <c r="B12" s="3" t="s">
        <v>5</v>
      </c>
      <c r="C12" s="3" t="s">
        <v>6</v>
      </c>
      <c r="D12" s="3">
        <v>60</v>
      </c>
    </row>
    <row r="13" spans="1:4">
      <c r="A13" s="2">
        <v>45536</v>
      </c>
      <c r="B13" s="3" t="s">
        <v>9</v>
      </c>
      <c r="C13" s="3" t="s">
        <v>13</v>
      </c>
      <c r="D13" s="3">
        <v>150</v>
      </c>
    </row>
    <row r="14" spans="1:4">
      <c r="A14" s="2">
        <v>45550</v>
      </c>
      <c r="B14" s="3" t="s">
        <v>8</v>
      </c>
      <c r="C14" s="3" t="s">
        <v>13</v>
      </c>
      <c r="D14" s="3">
        <v>120</v>
      </c>
    </row>
    <row r="15" spans="1:4">
      <c r="A15" s="2">
        <v>45575</v>
      </c>
      <c r="B15" s="3" t="s">
        <v>5</v>
      </c>
      <c r="C15" s="3" t="s">
        <v>13</v>
      </c>
      <c r="D15" s="3">
        <v>100</v>
      </c>
    </row>
    <row r="16" spans="1:4">
      <c r="A16" s="2">
        <v>45601</v>
      </c>
      <c r="B16" s="3" t="s">
        <v>9</v>
      </c>
      <c r="C16" s="3" t="s">
        <v>7</v>
      </c>
      <c r="D16" s="3">
        <v>45</v>
      </c>
    </row>
    <row r="17" spans="1:4">
      <c r="A17" s="2">
        <v>45646</v>
      </c>
      <c r="B17" s="3" t="s">
        <v>8</v>
      </c>
      <c r="C17" s="3" t="s">
        <v>7</v>
      </c>
      <c r="D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2025-11-20T18:46:30Z</dcterms:created>
  <dcterms:modified xsi:type="dcterms:W3CDTF">2025-11-20T19:47:00Z</dcterms:modified>
  <cp:category/>
  <cp:contentStatus/>
</cp:coreProperties>
</file>